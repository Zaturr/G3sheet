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Inicio" sheetId="1" state="visible" r:id="rId1"/>
    <sheet xmlns:r="http://schemas.openxmlformats.org/officeDocument/2006/relationships" name="2 Registro diario" sheetId="2" state="visible" r:id="rId2"/>
    <sheet xmlns:r="http://schemas.openxmlformats.org/officeDocument/2006/relationships" name="3 Plan semanal" sheetId="3" state="visible" r:id="rId3"/>
    <sheet xmlns:r="http://schemas.openxmlformats.org/officeDocument/2006/relationships" name="4 Vista por empleado" sheetId="4" state="visible" r:id="rId4"/>
    <sheet xmlns:r="http://schemas.openxmlformats.org/officeDocument/2006/relationships" name="5 Reporte semanal" sheetId="5" state="visible" r:id="rId5"/>
    <sheet xmlns:r="http://schemas.openxmlformats.org/officeDocument/2006/relationships" name="6 Reporte diario texto" sheetId="6" state="visible" r:id="rId6"/>
    <sheet xmlns:r="http://schemas.openxmlformats.org/officeDocument/2006/relationships" name="7 Reporte semanal texto" sheetId="7" state="visible" r:id="rId7"/>
    <sheet xmlns:r="http://schemas.openxmlformats.org/officeDocument/2006/relationships" name="8 Catalogo edific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3">
    <font>
      <name val="Calibri"/>
      <family val="2"/>
      <color theme="1"/>
      <sz val="11"/>
      <scheme val="minor"/>
    </font>
    <font>
      <b val="1"/>
      <color rgb="001F3864"/>
      <sz val="22"/>
    </font>
    <font>
      <i val="1"/>
      <color rgb="00666666"/>
      <sz val="12"/>
    </font>
    <font>
      <b val="1"/>
      <color rgb="001F3864"/>
      <sz val="13"/>
    </font>
    <font>
      <color rgb="00333333"/>
      <sz val="11"/>
    </font>
    <font>
      <i val="1"/>
      <color rgb="00888888"/>
      <sz val="10"/>
    </font>
    <font>
      <b val="1"/>
      <color rgb="00FFFFFF"/>
      <sz val="14"/>
    </font>
    <font>
      <color rgb="00444444"/>
      <sz val="10"/>
    </font>
    <font>
      <i val="1"/>
      <color rgb="00666666"/>
      <sz val="9"/>
    </font>
    <font>
      <b val="1"/>
      <color rgb="00FFFFFF"/>
      <sz val="11"/>
    </font>
    <font>
      <color rgb="00333333"/>
      <sz val="10"/>
    </font>
    <font>
      <b val="1"/>
      <color rgb="001F3864"/>
      <sz val="11"/>
    </font>
    <font>
      <b val="1"/>
      <color rgb="001F3864"/>
    </font>
  </fonts>
  <fills count="6">
    <fill>
      <patternFill/>
    </fill>
    <fill>
      <patternFill patternType="gray125"/>
    </fill>
    <fill>
      <patternFill patternType="solid">
        <fgColor rgb="00D6E3F4"/>
      </patternFill>
    </fill>
    <fill>
      <patternFill patternType="solid">
        <fgColor rgb="00FFFFFF"/>
      </patternFill>
    </fill>
    <fill>
      <patternFill patternType="solid">
        <fgColor rgb="002F5597"/>
      </patternFill>
    </fill>
    <fill>
      <patternFill patternType="solid">
        <fgColor rgb="00F2F2F2"/>
      </patternFill>
    </fill>
  </fills>
  <borders count="11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CCCCCC"/>
      </left>
      <right/>
      <top/>
      <bottom/>
      <diagonal/>
    </border>
    <border>
      <left/>
      <right style="thin">
        <color rgb="00CCCCCC"/>
      </right>
      <top/>
      <bottom/>
      <diagonal/>
    </border>
    <border>
      <left style="thin">
        <color rgb="00CCCCCC"/>
      </left>
      <right/>
      <top/>
      <bottom style="thin">
        <color rgb="00CCCCCC"/>
      </bottom>
      <diagonal/>
    </border>
    <border>
      <left/>
      <right/>
      <top/>
      <bottom style="thin">
        <color rgb="00CCCCCC"/>
      </bottom>
      <diagonal/>
    </border>
    <border>
      <left/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top" wrapText="1"/>
    </xf>
    <xf numFmtId="0" fontId="12" fillId="2" borderId="1" pivotButton="0" quotePrefix="0" xfId="0"/>
    <xf numFmtId="164" fontId="0" fillId="0" borderId="1" applyAlignment="1" pivotButton="0" quotePrefix="0" xfId="0">
      <alignment horizontal="center"/>
    </xf>
    <xf numFmtId="0" fontId="11" fillId="2" borderId="1" applyAlignment="1" pivotButton="0" quotePrefix="0" xfId="0">
      <alignment horizontal="center" vertical="center"/>
    </xf>
    <xf numFmtId="0" fontId="6" fillId="4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Registro" displayName="Registro" ref="A5:E19" headerRowCount="1">
  <autoFilter ref="A5:E19"/>
  <tableColumns count="5">
    <tableColumn id="1" name="Fecha"/>
    <tableColumn id="2" name="Nombre"/>
    <tableColumn id="3" name="IdEdificio"/>
    <tableColumn id="4" name="Actividad"/>
    <tableColumn id="5" name="Avance"/>
  </tableColumns>
  <tableStyleInfo name="TableStyleMedium9" showFirstColumn="0" showRowStripes="1"/>
</table>
</file>

<file path=xl/tables/table2.xml><?xml version="1.0" encoding="utf-8"?>
<table xmlns="http://schemas.openxmlformats.org/spreadsheetml/2006/main" id="2" name="Planificacion_Semanal" displayName="Planificacion_Semanal" ref="A5:D13" headerRowCount="1">
  <autoFilter ref="A5:D13"/>
  <tableColumns count="4">
    <tableColumn id="1" name="IdEdificio"/>
    <tableColumn id="2" name="Prioridad"/>
    <tableColumn id="3" name="Coordinador"/>
    <tableColumn id="4" name="Estado"/>
  </tableColumns>
  <tableStyleInfo name="TableStyleMedium2" showFirstColumn="0" showRowStripes="1"/>
</table>
</file>

<file path=xl/tables/table3.xml><?xml version="1.0" encoding="utf-8"?>
<table xmlns="http://schemas.openxmlformats.org/spreadsheetml/2006/main" id="3" name="Catalogo_Edificios" displayName="Catalogo_Edificios" ref="A5:C13" headerRowCount="1">
  <autoFilter ref="A5:C13"/>
  <tableColumns count="3">
    <tableColumn id="1" name="IdEdificio"/>
    <tableColumn id="2" name="NombreEdificio"/>
    <tableColumn id="3" name="Activo"/>
  </tableColumns>
  <tableStyleInfo name="TableStyleMedium4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s="1" t="inlineStr">
        <is>
          <t>Control semanal CXP</t>
        </is>
      </c>
    </row>
    <row r="3">
      <c r="B3" s="2" t="inlineStr">
        <is>
          <t>Empieza aquí: tres pestañas, en orden.</t>
        </is>
      </c>
    </row>
    <row r="6">
      <c r="B6" s="3" t="inlineStr">
        <is>
          <t>Qué haces tú normalmente</t>
        </is>
      </c>
      <c r="C6" s="4" t="n"/>
      <c r="D6" s="4" t="n"/>
      <c r="E6" s="4" t="n"/>
      <c r="F6" s="4" t="n"/>
      <c r="G6" s="5" t="n"/>
    </row>
    <row r="7" ht="28" customHeight="1">
      <c r="B7" s="6" t="inlineStr">
        <is>
          <t>1) Abre la pestaña «2 Registro diario».
2) Cada vez que hagas algo, añade una fila nueva.
   • Elige tu nombre y escribe el identificador del edificio.
   • Escribe con frases simples qué hiciste.
   • Pon «Completado» solo si esa parte ya quedó lista del todo.
3) Puedes tener varias filas el mismo día: una por cada tema distinto.</t>
        </is>
      </c>
      <c r="C7" s="7" t="n"/>
      <c r="D7" s="7" t="n"/>
      <c r="E7" s="7" t="n"/>
      <c r="F7" s="7" t="n"/>
      <c r="G7" s="8" t="n"/>
    </row>
    <row r="8" ht="18" customHeight="1">
      <c r="B8" s="9" t="n"/>
      <c r="G8" s="10" t="n"/>
    </row>
    <row r="9" ht="18" customHeight="1">
      <c r="B9" s="9" t="n"/>
      <c r="G9" s="10" t="n"/>
    </row>
    <row r="10" ht="18" customHeight="1">
      <c r="B10" s="11" t="n"/>
      <c r="C10" s="12" t="n"/>
      <c r="D10" s="12" t="n"/>
      <c r="E10" s="12" t="n"/>
      <c r="F10" s="12" t="n"/>
      <c r="G10" s="13" t="n"/>
    </row>
    <row r="12">
      <c r="B12" s="3" t="inlineStr">
        <is>
          <t>Qué hace el equipo cada lunes</t>
        </is>
      </c>
      <c r="C12" s="4" t="n"/>
      <c r="D12" s="4" t="n"/>
      <c r="E12" s="4" t="n"/>
      <c r="F12" s="4" t="n"/>
      <c r="G12" s="5" t="n"/>
    </row>
    <row r="13" ht="28" customHeight="1">
      <c r="B13" s="6" t="inlineStr">
        <is>
          <t>• Actualizar la pestaña «3 Plan semanal» con los edificios de la semana.
• Vaciar el registro del día (borrar las filas de datos, no los encabezados azules).</t>
        </is>
      </c>
      <c r="C13" s="7" t="n"/>
      <c r="D13" s="7" t="n"/>
      <c r="E13" s="7" t="n"/>
      <c r="F13" s="7" t="n"/>
      <c r="G13" s="8" t="n"/>
    </row>
    <row r="14" ht="18" customHeight="1">
      <c r="B14" s="9" t="n"/>
      <c r="G14" s="10" t="n"/>
    </row>
    <row r="15" ht="18" customHeight="1">
      <c r="B15" s="9" t="n"/>
      <c r="G15" s="10" t="n"/>
    </row>
    <row r="16" ht="18" customHeight="1">
      <c r="B16" s="11" t="n"/>
      <c r="C16" s="12" t="n"/>
      <c r="D16" s="12" t="n"/>
      <c r="E16" s="12" t="n"/>
      <c r="F16" s="12" t="n"/>
      <c r="G16" s="13" t="n"/>
    </row>
    <row r="18">
      <c r="B18" s="3" t="inlineStr">
        <is>
          <t>Cómo leer el «Estado» en el plan</t>
        </is>
      </c>
      <c r="C18" s="4" t="n"/>
      <c r="D18" s="4" t="n"/>
      <c r="E18" s="4" t="n"/>
      <c r="F18" s="4" t="n"/>
      <c r="G18" s="5" t="n"/>
    </row>
    <row r="19" ht="28" customHeight="1">
      <c r="B19" s="6" t="inlineStr">
        <is>
          <t>• PENDIENTE = aún nadie marcó esa tarea como terminada en el registro.
• FINALIZADO = al menos una vez alguien puso «Completado» para ese edificio.
Tú no escribas en esa columna: se calcula sola.</t>
        </is>
      </c>
      <c r="C19" s="7" t="n"/>
      <c r="D19" s="7" t="n"/>
      <c r="E19" s="7" t="n"/>
      <c r="F19" s="7" t="n"/>
      <c r="G19" s="8" t="n"/>
    </row>
    <row r="20" ht="18" customHeight="1">
      <c r="B20" s="9" t="n"/>
      <c r="G20" s="10" t="n"/>
    </row>
    <row r="21" ht="18" customHeight="1">
      <c r="B21" s="9" t="n"/>
      <c r="G21" s="10" t="n"/>
    </row>
    <row r="22" ht="18" customHeight="1">
      <c r="B22" s="11" t="n"/>
      <c r="C22" s="12" t="n"/>
      <c r="D22" s="12" t="n"/>
      <c r="E22" s="12" t="n"/>
      <c r="F22" s="12" t="n"/>
      <c r="G22" s="13" t="n"/>
    </row>
    <row r="25">
      <c r="B25" s="14" t="inlineStr">
        <is>
          <t>¿Dudas? Pide ayuda a quien cargue el plan semanal — el archivo no pierde fórmulas al borrar filas del registro.</t>
        </is>
      </c>
    </row>
  </sheetData>
  <mergeCells count="9">
    <mergeCell ref="B3:G3"/>
    <mergeCell ref="B2:G2"/>
    <mergeCell ref="B7:G10"/>
    <mergeCell ref="B19:G22"/>
    <mergeCell ref="B13:G16"/>
    <mergeCell ref="B12:G12"/>
    <mergeCell ref="B18:G18"/>
    <mergeCell ref="B25:G25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6" customWidth="1" min="4" max="4"/>
    <col width="18" customWidth="1" min="5" max="5"/>
  </cols>
  <sheetData>
    <row r="1" ht="32" customHeight="1">
      <c r="A1" s="15" t="inlineStr">
        <is>
          <t>Registro diario — escribe aquí cada actividad</t>
        </is>
      </c>
    </row>
    <row r="2" ht="36" customHeight="1">
      <c r="A2" s="16" t="inlineStr">
        <is>
          <t>Una fila = una cosa que hiciste en un edificio. Usa listas solo para nombre y avance.</t>
        </is>
      </c>
    </row>
    <row r="3" ht="8" customHeight="1"/>
    <row r="4" ht="20" customHeight="1">
      <c r="A4" s="17" t="inlineStr">
        <is>
          <t>Consejo: al terminar la fila, pulsa Tab o Enter; puedes añadir filas desde el borde inferior de la tabla.</t>
        </is>
      </c>
    </row>
    <row r="5">
      <c r="A5" s="18" t="inlineStr">
        <is>
          <t>Fecha</t>
        </is>
      </c>
      <c r="B5" s="18" t="inlineStr">
        <is>
          <t>Nombre</t>
        </is>
      </c>
      <c r="C5" s="18" t="inlineStr">
        <is>
          <t>IdEdificio</t>
        </is>
      </c>
      <c r="D5" s="18" t="inlineStr">
        <is>
          <t>Actividad</t>
        </is>
      </c>
      <c r="E5" s="18" t="inlineStr">
        <is>
          <t>Avance</t>
        </is>
      </c>
    </row>
    <row r="6">
      <c r="A6" t="inlineStr">
        <is>
          <t>17/04/2026</t>
        </is>
      </c>
      <c r="B6" t="inlineStr">
        <is>
          <t>Yoiner</t>
        </is>
      </c>
      <c r="C6" t="inlineStr">
        <is>
          <t>2566</t>
        </is>
      </c>
      <c r="D6" t="inlineStr">
        <is>
          <t>Facturas JDC</t>
        </is>
      </c>
      <c r="E6" t="inlineStr">
        <is>
          <t>Completado</t>
        </is>
      </c>
    </row>
    <row r="7">
      <c r="A7" t="inlineStr">
        <is>
          <t>17/04/2026</t>
        </is>
      </c>
      <c r="B7" t="inlineStr">
        <is>
          <t>Yoiner</t>
        </is>
      </c>
      <c r="C7" t="inlineStr">
        <is>
          <t>2587</t>
        </is>
      </c>
      <c r="D7" t="inlineStr">
        <is>
          <t>Paquete contador</t>
        </is>
      </c>
      <c r="E7" t="inlineStr">
        <is>
          <t>En curso</t>
        </is>
      </c>
    </row>
    <row r="8">
      <c r="A8" t="inlineStr">
        <is>
          <t>17/04/2026</t>
        </is>
      </c>
      <c r="B8" t="inlineStr">
        <is>
          <t>Yoiner</t>
        </is>
      </c>
      <c r="C8" t="inlineStr">
        <is>
          <t>2614</t>
        </is>
      </c>
      <c r="D8" t="inlineStr">
        <is>
          <t>Rendición 2614</t>
        </is>
      </c>
      <c r="E8" t="inlineStr">
        <is>
          <t>Completado</t>
        </is>
      </c>
    </row>
    <row r="9">
      <c r="A9" t="inlineStr">
        <is>
          <t>17/04/2026</t>
        </is>
      </c>
      <c r="B9" t="inlineStr">
        <is>
          <t>Genesis Quintero</t>
        </is>
      </c>
      <c r="C9" t="inlineStr">
        <is>
          <t>2616</t>
        </is>
      </c>
      <c r="D9" t="inlineStr">
        <is>
          <t>Revisión 2616 con MH</t>
        </is>
      </c>
      <c r="E9" t="inlineStr">
        <is>
          <t>Completado</t>
        </is>
      </c>
    </row>
    <row r="10">
      <c r="A10" t="inlineStr">
        <is>
          <t>17/04/2026</t>
        </is>
      </c>
      <c r="B10" t="inlineStr">
        <is>
          <t>Genesis Quintero</t>
        </is>
      </c>
      <c r="C10" t="inlineStr">
        <is>
          <t>2586</t>
        </is>
      </c>
      <c r="D10" t="inlineStr">
        <is>
          <t>Rendición 2586</t>
        </is>
      </c>
      <c r="E10" t="inlineStr">
        <is>
          <t>Completado</t>
        </is>
      </c>
    </row>
    <row r="11">
      <c r="A11" t="inlineStr">
        <is>
          <t>17/04/2026</t>
        </is>
      </c>
      <c r="B11" t="inlineStr">
        <is>
          <t>Genesis Quintero</t>
        </is>
      </c>
      <c r="C11" t="inlineStr">
        <is>
          <t>2575</t>
        </is>
      </c>
      <c r="D11" t="inlineStr">
        <is>
          <t>Rendición Campo Neblina</t>
        </is>
      </c>
      <c r="E11" t="inlineStr">
        <is>
          <t>En curso</t>
        </is>
      </c>
    </row>
    <row r="12">
      <c r="A12" t="inlineStr">
        <is>
          <t>17/04/2026</t>
        </is>
      </c>
      <c r="B12" t="inlineStr">
        <is>
          <t>Yumilka</t>
        </is>
      </c>
      <c r="C12" t="inlineStr">
        <is>
          <t>2604</t>
        </is>
      </c>
      <c r="D12" t="inlineStr">
        <is>
          <t>Corpoelec</t>
        </is>
      </c>
      <c r="E12" t="inlineStr">
        <is>
          <t>En curso</t>
        </is>
      </c>
    </row>
    <row r="13">
      <c r="A13" t="inlineStr">
        <is>
          <t>17/04/2026</t>
        </is>
      </c>
      <c r="B13" t="inlineStr">
        <is>
          <t>Yumilka</t>
        </is>
      </c>
      <c r="C13" t="inlineStr">
        <is>
          <t>2573</t>
        </is>
      </c>
      <c r="D13" t="inlineStr">
        <is>
          <t>Archivos</t>
        </is>
      </c>
      <c r="E13" t="inlineStr">
        <is>
          <t>En curso</t>
        </is>
      </c>
    </row>
    <row r="14">
      <c r="A14" t="inlineStr">
        <is>
          <t>17/04/2026</t>
        </is>
      </c>
      <c r="B14" t="inlineStr">
        <is>
          <t>Yumilka</t>
        </is>
      </c>
      <c r="C14" t="inlineStr">
        <is>
          <t>2587</t>
        </is>
      </c>
      <c r="D14" t="inlineStr">
        <is>
          <t>Pagos proveedores</t>
        </is>
      </c>
      <c r="E14" t="inlineStr">
        <is>
          <t>En curso</t>
        </is>
      </c>
    </row>
    <row r="15">
      <c r="A15" t="inlineStr">
        <is>
          <t>17/04/2026</t>
        </is>
      </c>
      <c r="B15" t="inlineStr">
        <is>
          <t>Sandra</t>
        </is>
      </c>
      <c r="C15" t="inlineStr">
        <is>
          <t>2616</t>
        </is>
      </c>
      <c r="D15" t="inlineStr">
        <is>
          <t>Comunicación JDC 2616</t>
        </is>
      </c>
      <c r="E15" t="inlineStr">
        <is>
          <t>Completado</t>
        </is>
      </c>
    </row>
    <row r="16">
      <c r="A16" t="inlineStr">
        <is>
          <t>17/04/2026</t>
        </is>
      </c>
      <c r="B16" t="inlineStr">
        <is>
          <t>Sandra</t>
        </is>
      </c>
      <c r="C16" t="inlineStr">
        <is>
          <t>2604</t>
        </is>
      </c>
      <c r="D16" t="inlineStr">
        <is>
          <t>Cuadro CANTV</t>
        </is>
      </c>
      <c r="E16" t="inlineStr">
        <is>
          <t>En curso</t>
        </is>
      </c>
    </row>
    <row r="17">
      <c r="A17" t="inlineStr">
        <is>
          <t>17/04/2026</t>
        </is>
      </c>
      <c r="B17" t="inlineStr">
        <is>
          <t>Sandra</t>
        </is>
      </c>
      <c r="C17" t="inlineStr">
        <is>
          <t>2586</t>
        </is>
      </c>
      <c r="D17" t="inlineStr">
        <is>
          <t>Estados de cuenta</t>
        </is>
      </c>
      <c r="E17" t="inlineStr">
        <is>
          <t>En curso</t>
        </is>
      </c>
    </row>
    <row r="18">
      <c r="A18" t="inlineStr">
        <is>
          <t>17/04/2026</t>
        </is>
      </c>
      <c r="B18" t="inlineStr">
        <is>
          <t>Genesis Quintero</t>
        </is>
      </c>
      <c r="C18" t="inlineStr">
        <is>
          <t>2614</t>
        </is>
      </c>
      <c r="D18" t="inlineStr">
        <is>
          <t>Pagos</t>
        </is>
      </c>
      <c r="E18" t="inlineStr">
        <is>
          <t>En curso</t>
        </is>
      </c>
    </row>
    <row r="19">
      <c r="A19" t="inlineStr">
        <is>
          <t>17/04/2026</t>
        </is>
      </c>
      <c r="B19" t="inlineStr">
        <is>
          <t>Yoiner</t>
        </is>
      </c>
      <c r="C19" t="inlineStr">
        <is>
          <t>2573</t>
        </is>
      </c>
      <c r="D19" t="inlineStr">
        <is>
          <t>Conciliación 8667</t>
        </is>
      </c>
      <c r="E19" t="inlineStr">
        <is>
          <t>En curso</t>
        </is>
      </c>
    </row>
  </sheetData>
  <mergeCells count="3">
    <mergeCell ref="A2:E2"/>
    <mergeCell ref="A1:E1"/>
    <mergeCell ref="A4:E4"/>
  </mergeCells>
  <dataValidations count="3">
    <dataValidation sqref="B6:B300" showDropDown="0" showInputMessage="0" showErrorMessage="1" allowBlank="1" errorTitle="Nombre" error="Elige un nombre de la lista." type="list">
      <formula1>"Yoiner,Genesis Quintero,Yumilka,Sandra"</formula1>
    </dataValidation>
    <dataValidation sqref="C6:C300" showDropDown="0" showInputMessage="0" showErrorMessage="1" allowBlank="1" errorTitle="IdEdificio" error="Elige un IdEdificio del catálogo." type="list">
      <formula1>"2566,2573,2575,2586,2587,2604,2614,2616"</formula1>
    </dataValidation>
    <dataValidation sqref="E6:E300" showDropDown="0" showInputMessage="0" showErrorMessage="1" allowBlank="1" errorTitle="Avance" error="Elige «En curso» o «Completado»." type="list">
      <formula1>"En curso,Completado"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6" customWidth="1" min="4" max="4"/>
  </cols>
  <sheetData>
    <row r="1" ht="32" customHeight="1">
      <c r="A1" s="15" t="inlineStr">
        <is>
          <t>Plan de la semana — edificios y prioridades</t>
        </is>
      </c>
    </row>
    <row r="2" ht="36" customHeight="1">
      <c r="A2" s="16" t="inlineStr">
        <is>
          <t>Solo quien coordina edita aquí los edificios y prioridades. La columna Estado se calcula sola.</t>
        </is>
      </c>
    </row>
    <row r="3" ht="8" customHeight="1"/>
    <row r="5">
      <c r="A5" s="18" t="inlineStr">
        <is>
          <t>IdEdificio</t>
        </is>
      </c>
      <c r="B5" s="18" t="inlineStr">
        <is>
          <t>Prioridad</t>
        </is>
      </c>
      <c r="C5" s="18" t="inlineStr">
        <is>
          <t>Coordinador</t>
        </is>
      </c>
      <c r="D5" s="18" t="inlineStr">
        <is>
          <t>Estado</t>
        </is>
      </c>
    </row>
    <row r="6">
      <c r="A6" t="inlineStr">
        <is>
          <t>2566</t>
        </is>
      </c>
      <c r="B6" t="inlineStr">
        <is>
          <t>Facturación</t>
        </is>
      </c>
      <c r="C6" t="inlineStr"/>
      <c r="D6">
        <f>IF(COUNTIFS('2 Registro diario'!$C:$C,A6,'2 Registro diario'!$E:$E,"Completado")&gt;0,"FINALIZADO","PENDIENTE")</f>
        <v/>
      </c>
    </row>
    <row r="7">
      <c r="A7" t="inlineStr">
        <is>
          <t>2587</t>
        </is>
      </c>
      <c r="B7" t="inlineStr">
        <is>
          <t>Facturación</t>
        </is>
      </c>
      <c r="C7" t="inlineStr"/>
      <c r="D7">
        <f>IF(COUNTIFS('2 Registro diario'!$C:$C,A7,'2 Registro diario'!$E:$E,"Completado")&gt;0,"FINALIZADO","PENDIENTE")</f>
        <v/>
      </c>
    </row>
    <row r="8">
      <c r="A8" t="inlineStr">
        <is>
          <t>2573</t>
        </is>
      </c>
      <c r="B8" t="inlineStr">
        <is>
          <t>Facturación</t>
        </is>
      </c>
      <c r="C8" t="inlineStr"/>
      <c r="D8">
        <f>IF(COUNTIFS('2 Registro diario'!$C:$C,A8,'2 Registro diario'!$E:$E,"Completado")&gt;0,"FINALIZADO","PENDIENTE")</f>
        <v/>
      </c>
    </row>
    <row r="9">
      <c r="A9" t="inlineStr">
        <is>
          <t>2616</t>
        </is>
      </c>
      <c r="B9" t="inlineStr">
        <is>
          <t>Rendición</t>
        </is>
      </c>
      <c r="C9" t="inlineStr"/>
      <c r="D9">
        <f>IF(COUNTIFS('2 Registro diario'!$C:$C,A9,'2 Registro diario'!$E:$E,"Completado")&gt;0,"FINALIZADO","PENDIENTE")</f>
        <v/>
      </c>
    </row>
    <row r="10">
      <c r="A10" t="inlineStr">
        <is>
          <t>2586</t>
        </is>
      </c>
      <c r="B10" t="inlineStr">
        <is>
          <t>Rendición</t>
        </is>
      </c>
      <c r="C10" t="inlineStr"/>
      <c r="D10">
        <f>IF(COUNTIFS('2 Registro diario'!$C:$C,A10,'2 Registro diario'!$E:$E,"Completado")&gt;0,"FINALIZADO","PENDIENTE")</f>
        <v/>
      </c>
    </row>
    <row r="11">
      <c r="A11" t="inlineStr">
        <is>
          <t>2614</t>
        </is>
      </c>
      <c r="B11" t="inlineStr">
        <is>
          <t>Rendición</t>
        </is>
      </c>
      <c r="C11" t="inlineStr"/>
      <c r="D11">
        <f>IF(COUNTIFS('2 Registro diario'!$C:$C,A11,'2 Registro diario'!$E:$E,"Completado")&gt;0,"FINALIZADO","PENDIENTE")</f>
        <v/>
      </c>
    </row>
    <row r="12">
      <c r="A12" t="inlineStr">
        <is>
          <t>2575</t>
        </is>
      </c>
      <c r="B12" t="inlineStr">
        <is>
          <t>Rendición</t>
        </is>
      </c>
      <c r="C12" t="inlineStr"/>
      <c r="D12">
        <f>IF(COUNTIFS('2 Registro diario'!$C:$C,A12,'2 Registro diario'!$E:$E,"Completado")&gt;0,"FINALIZADO","PENDIENTE")</f>
        <v/>
      </c>
    </row>
    <row r="13">
      <c r="A13" t="inlineStr">
        <is>
          <t>2604</t>
        </is>
      </c>
      <c r="B13" t="inlineStr">
        <is>
          <t>Rendición</t>
        </is>
      </c>
      <c r="C13" t="inlineStr"/>
      <c r="D13">
        <f>IF(COUNTIFS('2 Registro diario'!$C:$C,A13,'2 Registro diario'!$E:$E,"Completado")&gt;0,"FINALIZADO","PENDIENTE")</f>
        <v/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" customWidth="1" min="2" max="2"/>
    <col width="42" customWidth="1" min="3" max="3"/>
    <col width="2" customWidth="1" min="4" max="4"/>
    <col width="42" customWidth="1" min="5" max="5"/>
    <col width="2" customWidth="1" min="6" max="6"/>
    <col width="42" customWidth="1" min="7" max="7"/>
    <col width="2" customWidth="1" min="8" max="8"/>
  </cols>
  <sheetData>
    <row r="1" ht="32" customHeight="1">
      <c r="A1" s="15" t="inlineStr">
        <is>
          <t>Vista rápida por empleado</t>
        </is>
      </c>
    </row>
    <row r="2" ht="36" customHeight="1">
      <c r="A2" s="16" t="inlineStr">
        <is>
          <t>Cada columna se actualiza sola con el Registro diario para esa persona.</t>
        </is>
      </c>
    </row>
    <row r="3" ht="8" customHeight="1"/>
    <row r="5">
      <c r="A5" s="19" t="inlineStr">
        <is>
          <t>Yoiner</t>
        </is>
      </c>
      <c r="C5" s="19" t="inlineStr">
        <is>
          <t>Genesis Quintero</t>
        </is>
      </c>
      <c r="E5" s="19" t="inlineStr">
        <is>
          <t>Yumilka</t>
        </is>
      </c>
      <c r="G5" s="19" t="inlineStr">
        <is>
          <t>Sandra</t>
        </is>
      </c>
    </row>
    <row r="6">
      <c r="A6" s="20">
        <f>IFNA(ARRAYFORMULA(FILTER('2 Registro diario'!$A$6:$A1000; '2 Registro diario'!$B$6:$B1000=A$5) &amp; " | " &amp; FILTER('2 Registro diario'!$C$6:$C1000; '2 Registro diario'!$B$6:$B1000=A$5) &amp; " | " &amp; FILTER('2 Registro diario'!$D$6:$D1000; '2 Registro diario'!$B$6:$B1000=A$5) &amp; " | " &amp; FILTER('2 Registro diario'!$E$6:$E1000; '2 Registro diario'!$B$6:$B1000=A$5)); "(sin registros)")</f>
        <v/>
      </c>
      <c r="C6" s="20">
        <f>IFNA(ARRAYFORMULA(FILTER('2 Registro diario'!$A$6:$A1000; '2 Registro diario'!$B$6:$B1000=C$5) &amp; " | " &amp; FILTER('2 Registro diario'!$C$6:$C1000; '2 Registro diario'!$B$6:$B1000=C$5) &amp; " | " &amp; FILTER('2 Registro diario'!$D$6:$D1000; '2 Registro diario'!$B$6:$B1000=C$5) &amp; " | " &amp; FILTER('2 Registro diario'!$E$6:$E1000; '2 Registro diario'!$B$6:$B1000=C$5)); "(sin registros)")</f>
        <v/>
      </c>
      <c r="E6" s="20">
        <f>IFNA(ARRAYFORMULA(FILTER('2 Registro diario'!$A$6:$A1000; '2 Registro diario'!$B$6:$B1000=E$5) &amp; " | " &amp; FILTER('2 Registro diario'!$C$6:$C1000; '2 Registro diario'!$B$6:$B1000=E$5) &amp; " | " &amp; FILTER('2 Registro diario'!$D$6:$D1000; '2 Registro diario'!$B$6:$B1000=E$5) &amp; " | " &amp; FILTER('2 Registro diario'!$E$6:$E1000; '2 Registro diario'!$B$6:$B1000=E$5)); "(sin registros)")</f>
        <v/>
      </c>
      <c r="G6" s="20">
        <f>IFNA(ARRAYFORMULA(FILTER('2 Registro diario'!$A$6:$A1000; '2 Registro diario'!$B$6:$B1000=G$5) &amp; " | " &amp; FILTER('2 Registro diario'!$C$6:$C1000; '2 Registro diario'!$B$6:$B1000=G$5) &amp; " | " &amp; FILTER('2 Registro diario'!$D$6:$D1000; '2 Registro diario'!$B$6:$B1000=G$5) &amp; " | " &amp; FILTER('2 Registro diario'!$E$6:$E1000; '2 Registro diario'!$B$6:$B1000=G$5)); "(sin registros)")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34" customWidth="1" min="4" max="4"/>
    <col width="18" customWidth="1" min="5" max="5"/>
  </cols>
  <sheetData>
    <row r="1" ht="32" customHeight="1">
      <c r="A1" s="15" t="inlineStr">
        <is>
          <t>Reporte semanal — mismo formato del registro diario</t>
        </is>
      </c>
    </row>
    <row r="2" ht="36" customHeight="1">
      <c r="A2" s="16" t="inlineStr">
        <is>
          <t>Al final del dia registra en «2 Registro diario» y aqui se consolida automaticamente por semana.</t>
        </is>
      </c>
    </row>
    <row r="3" ht="8" customHeight="1"/>
    <row r="5">
      <c r="A5" s="21" t="inlineStr">
        <is>
          <t>Fecha inicio semana</t>
        </is>
      </c>
      <c r="B5" s="22" t="inlineStr">
        <is>
          <t>14/04/2026</t>
        </is>
      </c>
    </row>
    <row r="6">
      <c r="A6" s="21" t="inlineStr">
        <is>
          <t>Fecha fin semana</t>
        </is>
      </c>
      <c r="B6" s="22" t="inlineStr">
        <is>
          <t>20/04/2026</t>
        </is>
      </c>
    </row>
    <row r="8">
      <c r="A8" s="23">
        <f>"Semana de " &amp; TEXT($B$5; "dd/mm/yyyy") &amp; " a " &amp; TEXT($B$6; "dd/mm/yyyy")</f>
        <v/>
      </c>
    </row>
    <row r="9">
      <c r="A9" s="17" t="inlineStr">
        <is>
          <t>Usa formato dd/mm/aaaa en B5 y B6.</t>
        </is>
      </c>
    </row>
    <row r="11">
      <c r="A11" s="18" t="inlineStr">
        <is>
          <t>Fecha</t>
        </is>
      </c>
      <c r="B11" s="18" t="inlineStr">
        <is>
          <t>Nombre</t>
        </is>
      </c>
      <c r="C11" s="18" t="inlineStr">
        <is>
          <t>IdEdificio</t>
        </is>
      </c>
      <c r="D11" s="18" t="inlineStr">
        <is>
          <t>Actividad</t>
        </is>
      </c>
      <c r="E11" s="18" t="inlineStr">
        <is>
          <t>Avance</t>
        </is>
      </c>
    </row>
    <row r="12">
      <c r="A12">
        <f>IFNA(FILTER('2 Registro diario'!$A$6:$A1000; ('2 Registro diario'!$A$6:$A1000 &gt;= $B$5) * ('2 Registro diario'!$A$6:$A1000 &lt;= $B$6)); "")</f>
        <v/>
      </c>
      <c r="B12">
        <f>IFNA(FILTER('2 Registro diario'!$B$6:$B1000; ('2 Registro diario'!$A$6:$A1000 &gt;= $B$5) * ('2 Registro diario'!$A$6:$A1000 &lt;= $B$6)); "")</f>
        <v/>
      </c>
      <c r="C12">
        <f>IFNA(FILTER('2 Registro diario'!$C$6:$C1000; ('2 Registro diario'!$A$6:$A1000 &gt;= $B$5) * ('2 Registro diario'!$A$6:$A1000 &lt;= $B$6)); "")</f>
        <v/>
      </c>
      <c r="D12">
        <f>IFNA(FILTER('2 Registro diario'!$D$6:$D1000; ('2 Registro diario'!$A$6:$A1000 &gt;= $B$5) * ('2 Registro diario'!$A$6:$A1000 &lt;= $B$6)); "")</f>
        <v/>
      </c>
      <c r="E12">
        <f>IFNA(FILTER('2 Registro diario'!$E$6:$E1000; ('2 Registro diario'!$A$6:$A1000 &gt;= $B$5) * ('2 Registro diario'!$A$6:$A1000 &lt;= $B$6)); "")</f>
        <v/>
      </c>
    </row>
  </sheetData>
  <mergeCells count="4">
    <mergeCell ref="A2:E2"/>
    <mergeCell ref="A1:E1"/>
    <mergeCell ref="A9:E9"/>
    <mergeCell ref="A8:E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6"/>
  <sheetViews>
    <sheetView showGridLines="0" workbookViewId="0">
      <selection activeCell="A1" sqref="A1"/>
    </sheetView>
  </sheetViews>
  <sheetFormatPr baseColWidth="8" defaultRowHeight="15"/>
  <cols>
    <col width="140" customWidth="1" min="1" max="1"/>
  </cols>
  <sheetData>
    <row r="1" ht="26" customHeight="1">
      <c r="A1" s="24" t="inlineStr">
        <is>
          <t>Reporte diario en texto (dinámico)</t>
        </is>
      </c>
    </row>
    <row r="2">
      <c r="A2" s="25" t="inlineStr">
        <is>
          <t>Fecha objetivo</t>
        </is>
      </c>
      <c r="B2" s="26">
        <f>IFERROR(IF(MAX('2 Registro diario'!$A$6:$A)=0; TODAY(); MAX('2 Registro diario'!$A$6:$A)); TODAY())</f>
        <v/>
      </c>
    </row>
    <row r="3">
      <c r="A3" s="27" t="n"/>
    </row>
    <row r="4">
      <c r="A4" s="28">
        <f>"*Resumen gestión cxp del " &amp; TEXT($B$2; "dd/mm/yyyy") &amp; ":*"</f>
        <v/>
      </c>
    </row>
    <row r="5">
      <c r="A5" s="28" t="n"/>
    </row>
    <row r="6">
      <c r="A6" s="28">
        <f>"*Pendientes del " &amp; TEXT($B$2; "dd/mm/yyyy") &amp; " según planificación:*"</f>
        <v/>
      </c>
    </row>
    <row r="7">
      <c r="A7" s="28">
        <f>IFNA(ARRAYFORMULA("-Revisar gestión del edificio " &amp; FILTER('3 Plan semanal'!$A$6:$A; '3 Plan semanal'!$A$6:$A&lt;&gt;""; MAP('3 Plan semanal'!$A$6:$A; LAMBDA(edificio; COUNTIFS('2 Registro diario'!$C$6:$C; edificio; '2 Registro diario'!$A$6:$A; $B$2; '2 Registro diario'!$E$6:$E; "Completado")=0))) &amp; "."); "-Sin pendientes según planificación.")</f>
        <v/>
      </c>
    </row>
    <row r="8">
      <c r="A8" s="28" t="n"/>
    </row>
    <row r="9">
      <c r="A9" s="28" t="n"/>
    </row>
    <row r="10">
      <c r="A10" s="28" t="n"/>
    </row>
    <row r="11">
      <c r="A11" s="28" t="n"/>
    </row>
    <row r="12">
      <c r="A12" s="28" t="n"/>
    </row>
    <row r="13">
      <c r="A13" s="28" t="n"/>
    </row>
    <row r="14">
      <c r="A14" s="28" t="n"/>
    </row>
    <row r="15">
      <c r="A15" s="28">
        <f>"*Realizados pendientes del " &amp; TEXT($B$2; "dd/mm/yyyy") &amp; ":*"</f>
        <v/>
      </c>
    </row>
    <row r="16">
      <c r="A16" s="28">
        <f>IFNA(ARRAYFORMULA("-" &amp; FILTER('2 Registro diario'!$D$6:$D; '2 Registro diario'!$A$6:$A=$B$2; '2 Registro diario'!$E$6:$E="Completado") &amp; " (Edificio " &amp; FILTER('2 Registro diario'!$C$6:$C; '2 Registro diario'!$A$6:$A=$B$2; '2 Registro diario'!$E$6:$E="Completado") &amp; ")."); "-Sin pendientes realizados en esta fecha.")</f>
        <v/>
      </c>
    </row>
    <row r="17">
      <c r="A17" s="28" t="n"/>
    </row>
    <row r="18">
      <c r="A18" s="28" t="n"/>
    </row>
    <row r="19">
      <c r="A19" s="28" t="n"/>
    </row>
    <row r="20">
      <c r="A20" s="28" t="n"/>
    </row>
    <row r="21">
      <c r="A21" s="28" t="n"/>
    </row>
    <row r="22">
      <c r="A22" s="28" t="n"/>
    </row>
    <row r="23">
      <c r="A23" s="28" t="n"/>
    </row>
    <row r="24">
      <c r="A24" s="28">
        <f>"*Resumen individual gestión cxp del " &amp; TEXT($B$2; "dd/mm/yyyy") &amp; ":*"</f>
        <v/>
      </c>
    </row>
    <row r="25">
      <c r="A25" s="28" t="n"/>
    </row>
    <row r="26">
      <c r="A26" s="28" t="inlineStr">
        <is>
          <t>YOINER:</t>
        </is>
      </c>
    </row>
    <row r="27">
      <c r="A27" s="28">
        <f>IFNA(ARRAYFORMULA("-" &amp; FILTER('2 Registro diario'!$D$6:$D; '2 Registro diario'!$A$6:$A=$B$2; '2 Registro diario'!$B$6:$B="Yoiner") &amp; " (Edificio " &amp; FILTER('2 Registro diario'!$C$6:$C; '2 Registro diario'!$A$6:$A=$B$2; '2 Registro diario'!$B$6:$B="Yoiner") &amp; ")."); "-Sin registros en la fecha.")</f>
        <v/>
      </c>
    </row>
    <row r="28">
      <c r="A28" s="28" t="n"/>
    </row>
    <row r="29">
      <c r="A29" s="28" t="n"/>
    </row>
    <row r="30">
      <c r="A30" s="28" t="n"/>
    </row>
    <row r="31">
      <c r="A31" s="28" t="n"/>
    </row>
    <row r="32">
      <c r="A32" s="28" t="n"/>
    </row>
    <row r="33">
      <c r="A33" s="28" t="inlineStr">
        <is>
          <t>GENESIS QUINTERO:</t>
        </is>
      </c>
    </row>
    <row r="34">
      <c r="A34" s="28">
        <f>IFNA(ARRAYFORMULA("-" &amp; FILTER('2 Registro diario'!$D$6:$D; '2 Registro diario'!$A$6:$A=$B$2; '2 Registro diario'!$B$6:$B="Genesis Quintero") &amp; " (Edificio " &amp; FILTER('2 Registro diario'!$C$6:$C; '2 Registro diario'!$A$6:$A=$B$2; '2 Registro diario'!$B$6:$B="Genesis Quintero") &amp; ")."); "-Sin registros en la fecha.")</f>
        <v/>
      </c>
    </row>
    <row r="35">
      <c r="A35" s="28" t="n"/>
    </row>
    <row r="36">
      <c r="A36" s="28" t="n"/>
    </row>
    <row r="37">
      <c r="A37" s="28" t="n"/>
    </row>
    <row r="38">
      <c r="A38" s="28" t="n"/>
    </row>
    <row r="39">
      <c r="A39" s="28" t="n"/>
    </row>
    <row r="40">
      <c r="A40" s="28" t="inlineStr">
        <is>
          <t>YUMILKA:</t>
        </is>
      </c>
    </row>
    <row r="41">
      <c r="A41" s="28">
        <f>IFNA(ARRAYFORMULA("-" &amp; FILTER('2 Registro diario'!$D$6:$D; '2 Registro diario'!$A$6:$A=$B$2; '2 Registro diario'!$B$6:$B="Yumilka") &amp; " (Edificio " &amp; FILTER('2 Registro diario'!$C$6:$C; '2 Registro diario'!$A$6:$A=$B$2; '2 Registro diario'!$B$6:$B="Yumilka") &amp; ")."); "-Sin registros en la fecha.")</f>
        <v/>
      </c>
    </row>
    <row r="42">
      <c r="A42" s="28" t="n"/>
    </row>
    <row r="43">
      <c r="A43" s="28" t="n"/>
    </row>
    <row r="44">
      <c r="A44" s="28" t="n"/>
    </row>
    <row r="45">
      <c r="A45" s="28" t="n"/>
    </row>
    <row r="46">
      <c r="A46" s="28" t="n"/>
    </row>
    <row r="47">
      <c r="A47" s="28" t="inlineStr">
        <is>
          <t>SANDRA:</t>
        </is>
      </c>
    </row>
    <row r="48">
      <c r="A48" s="28">
        <f>IFNA(ARRAYFORMULA("-" &amp; FILTER('2 Registro diario'!$D$6:$D; '2 Registro diario'!$A$6:$A=$B$2; '2 Registro diario'!$B$6:$B="Sandra") &amp; " (Edificio " &amp; FILTER('2 Registro diario'!$C$6:$C; '2 Registro diario'!$A$6:$A=$B$2; '2 Registro diario'!$B$6:$B="Sandra") &amp; ")."); "-Sin registros en la fecha.")</f>
        <v/>
      </c>
    </row>
    <row r="49">
      <c r="A49" s="28" t="n"/>
    </row>
    <row r="50">
      <c r="A50" s="28" t="n"/>
    </row>
    <row r="51">
      <c r="A51" s="28" t="n"/>
    </row>
    <row r="52">
      <c r="A52" s="28" t="n"/>
    </row>
    <row r="53">
      <c r="A53" s="28" t="n"/>
    </row>
    <row r="54">
      <c r="A54" s="28">
        <f>"Pendientes para el " &amp; TEXT($B$2+3; "dd/mm/yyyy") &amp; ":"</f>
        <v/>
      </c>
    </row>
    <row r="55">
      <c r="A55" s="28">
        <f>IFNA(ARRAYFORMULA("-Revisar gestión del edificio " &amp; FILTER('3 Plan semanal'!$A$6:$A; '3 Plan semanal'!$A$6:$A&lt;&gt;""; MAP('3 Plan semanal'!$A$6:$A; LAMBDA(edificio; COUNTIFS('2 Registro diario'!$C$6:$C; edificio; '2 Registro diario'!$A$6:$A; $B$2; '2 Registro diario'!$E$6:$E; "Completado")=0)))); "-Sin pendientes.")</f>
        <v/>
      </c>
    </row>
    <row r="56">
      <c r="A56" s="28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9"/>
  <sheetViews>
    <sheetView showGridLines="0" workbookViewId="0">
      <selection activeCell="A1" sqref="A1"/>
    </sheetView>
  </sheetViews>
  <sheetFormatPr baseColWidth="8" defaultRowHeight="15"/>
  <cols>
    <col width="140" customWidth="1" min="1" max="1"/>
  </cols>
  <sheetData>
    <row r="1" ht="26" customHeight="1">
      <c r="A1" s="24" t="inlineStr">
        <is>
          <t>Reporte semanal en texto (dinámico)</t>
        </is>
      </c>
    </row>
    <row r="2">
      <c r="A2" s="25" t="inlineStr">
        <is>
          <t>Fecha inicio semana</t>
        </is>
      </c>
      <c r="B2" s="26" t="inlineStr">
        <is>
          <t>14/04/2026</t>
        </is>
      </c>
    </row>
    <row r="3">
      <c r="A3" s="25" t="inlineStr">
        <is>
          <t>Fecha fin semana</t>
        </is>
      </c>
      <c r="B3" s="26" t="inlineStr">
        <is>
          <t>20/04/2026</t>
        </is>
      </c>
    </row>
    <row r="4">
      <c r="A4" s="27" t="n"/>
    </row>
    <row r="5">
      <c r="A5" s="28">
        <f>"*Resumen semana Laboral CXP (" &amp; TEXT($B$2; "dd/mm/yyyy") &amp; " al " &amp; TEXT($B$3; "dd/mm/yyyy") &amp; "):*"</f>
        <v/>
      </c>
    </row>
    <row r="6">
      <c r="A6" s="28" t="n"/>
    </row>
    <row r="7">
      <c r="A7" s="28" t="inlineStr">
        <is>
          <t>*Prioridades:*</t>
        </is>
      </c>
    </row>
    <row r="8">
      <c r="A8" s="28">
        <f>IFNA(ARRAYFORMULA("-" &amp; FILTER('3 Plan semanal'!$B$6:$B1000; '3 Plan semanal'!$A$6:$A1000&lt;&gt;"") &amp; ": " &amp; FILTER('3 Plan semanal'!$A$6:$A1000; '3 Plan semanal'!$A$6:$A1000&lt;&gt;"")); "-Sin prioridades registradas.")</f>
        <v/>
      </c>
    </row>
    <row r="9">
      <c r="A9" s="28" t="n"/>
    </row>
    <row r="10">
      <c r="A10" s="28" t="n"/>
    </row>
    <row r="11">
      <c r="A11" s="28" t="n"/>
    </row>
    <row r="12">
      <c r="A12" s="28" t="n"/>
    </row>
    <row r="13">
      <c r="A13" s="28" t="n"/>
    </row>
    <row r="14">
      <c r="A14" s="28" t="n"/>
    </row>
    <row r="15">
      <c r="A15" s="28" t="n"/>
    </row>
    <row r="16">
      <c r="A16" s="28" t="n"/>
    </row>
    <row r="17">
      <c r="A17" s="28" t="n"/>
    </row>
    <row r="18">
      <c r="A18" s="28" t="inlineStr">
        <is>
          <t>*Logrado:*</t>
        </is>
      </c>
    </row>
    <row r="19">
      <c r="A19" s="28">
        <f>IFNA(ARRAYFORMULA("-" &amp; FILTER('2 Registro diario'!$D$6:$D1000; '2 Registro diario'!$A$6:$A1000&gt;=$B$2; '2 Registro diario'!$A$6:$A1000&lt;=$B$3; '2 Registro diario'!$E$6:$E1000="Completado") &amp; " (Edificio " &amp; FILTER('2 Registro diario'!$C$6:$C1000; '2 Registro diario'!$A$6:$A1000&gt;=$B$2; '2 Registro diario'!$A$6:$A1000&lt;=$B$3; '2 Registro diario'!$E$6:$E1000="Completado") &amp; " - " &amp; TEXT(FILTER('2 Registro diario'!$A$6:$A1000; '2 Registro diario'!$A$6:$A1000&gt;=$B$2; '2 Registro diario'!$A$6:$A1000&lt;=$B$3; '2 Registro diario'!$E$6:$E1000="Completado"); "dd/mm/yyyy") &amp; ")."); "-No hay actividades marcadas como completadas en la semana.")</f>
        <v/>
      </c>
    </row>
    <row r="20">
      <c r="A20" s="28" t="n"/>
    </row>
    <row r="21">
      <c r="A21" s="28" t="n"/>
    </row>
    <row r="22">
      <c r="A22" s="28" t="n"/>
    </row>
    <row r="23">
      <c r="A23" s="28" t="n"/>
    </row>
    <row r="24">
      <c r="A24" s="28" t="n"/>
    </row>
    <row r="25">
      <c r="A25" s="28" t="n"/>
    </row>
    <row r="26">
      <c r="A26" s="28" t="n"/>
    </row>
    <row r="27">
      <c r="A27" s="28" t="n"/>
    </row>
    <row r="28">
      <c r="A28" s="28" t="n"/>
    </row>
    <row r="29">
      <c r="A29" s="28" t="n"/>
    </row>
    <row r="30">
      <c r="A30" s="28" t="n"/>
    </row>
    <row r="31">
      <c r="A31" s="28" t="n"/>
    </row>
    <row r="32">
      <c r="A32" s="28" t="n"/>
    </row>
    <row r="33">
      <c r="A33" s="28" t="n"/>
    </row>
    <row r="34">
      <c r="A34" s="28" t="n"/>
    </row>
    <row r="35">
      <c r="A35" s="28" t="n"/>
    </row>
    <row r="36">
      <c r="A36" s="28" t="n"/>
    </row>
    <row r="37">
      <c r="A37" s="28" t="n"/>
    </row>
    <row r="38">
      <c r="A38" s="28" t="n"/>
    </row>
    <row r="39">
      <c r="A39" s="28" t="n"/>
    </row>
    <row r="40">
      <c r="A40" s="28" t="n"/>
    </row>
    <row r="41">
      <c r="A41" s="28" t="n"/>
    </row>
    <row r="42">
      <c r="A42" s="28" t="n"/>
    </row>
    <row r="43">
      <c r="A43" s="28" t="n"/>
    </row>
    <row r="44">
      <c r="A44" s="28" t="n"/>
    </row>
    <row r="45">
      <c r="A45" s="28" t="n"/>
    </row>
    <row r="46">
      <c r="A46" s="28" t="n"/>
    </row>
    <row r="47">
      <c r="A47" s="28" t="n"/>
    </row>
    <row r="48">
      <c r="A48" s="28" t="n"/>
    </row>
    <row r="49">
      <c r="A49" s="28" t="n"/>
    </row>
    <row r="50">
      <c r="A50" s="28" t="n"/>
    </row>
    <row r="51">
      <c r="A51" s="28" t="n"/>
    </row>
    <row r="52">
      <c r="A52" s="28" t="n"/>
    </row>
    <row r="53">
      <c r="A53" s="28" t="n"/>
    </row>
    <row r="54">
      <c r="A54" s="28" t="n"/>
    </row>
    <row r="55">
      <c r="A55" s="28" t="n"/>
    </row>
    <row r="56">
      <c r="A56" s="28" t="n"/>
    </row>
    <row r="57">
      <c r="A57" s="28" t="n"/>
    </row>
    <row r="58">
      <c r="A58" s="28" t="n"/>
    </row>
    <row r="59">
      <c r="A59" s="28" t="n"/>
    </row>
    <row r="60">
      <c r="A60" s="28" t="n"/>
    </row>
    <row r="61">
      <c r="A61" s="28" t="n"/>
    </row>
    <row r="62">
      <c r="A62" s="28" t="n"/>
    </row>
    <row r="63">
      <c r="A63" s="28" t="n"/>
    </row>
    <row r="64">
      <c r="A64" s="28" t="n"/>
    </row>
    <row r="65">
      <c r="A65" s="28" t="n"/>
    </row>
    <row r="66">
      <c r="A66" s="28" t="n"/>
    </row>
    <row r="67">
      <c r="A67" s="28" t="n"/>
    </row>
    <row r="68">
      <c r="A68" s="28" t="n"/>
    </row>
    <row r="69">
      <c r="A69" s="28" t="n"/>
    </row>
    <row r="70">
      <c r="A70" s="28" t="n"/>
    </row>
    <row r="71">
      <c r="A71" s="28" t="n"/>
    </row>
    <row r="72">
      <c r="A72" s="28" t="n"/>
    </row>
    <row r="73">
      <c r="A73" s="28" t="n"/>
    </row>
    <row r="74">
      <c r="A74" s="28" t="n"/>
    </row>
    <row r="75">
      <c r="A75" s="28" t="n"/>
    </row>
    <row r="76">
      <c r="A76" s="28" t="n"/>
    </row>
    <row r="77">
      <c r="A77" s="28" t="n"/>
    </row>
    <row r="78">
      <c r="A78" s="28" t="n"/>
    </row>
    <row r="79">
      <c r="A79" s="28" t="n"/>
    </row>
    <row r="80">
      <c r="A80" s="28" t="n"/>
    </row>
    <row r="81">
      <c r="A81" s="28" t="n"/>
    </row>
    <row r="82">
      <c r="A82" s="28" t="n"/>
    </row>
    <row r="83">
      <c r="A83" s="28" t="n"/>
    </row>
    <row r="84">
      <c r="A84" s="28" t="n"/>
    </row>
    <row r="85">
      <c r="A85" s="28" t="n"/>
    </row>
    <row r="86">
      <c r="A86" s="28" t="n"/>
    </row>
    <row r="87">
      <c r="A87" s="28" t="n"/>
    </row>
    <row r="88">
      <c r="A88" s="28" t="n"/>
    </row>
    <row r="89">
      <c r="A89" s="28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</cols>
  <sheetData>
    <row r="1" ht="32" customHeight="1">
      <c r="A1" s="15" t="inlineStr">
        <is>
          <t>Catalogo de edificios</t>
        </is>
      </c>
    </row>
    <row r="2" ht="36" customHeight="1">
      <c r="A2" s="16" t="inlineStr">
        <is>
          <t>Agrega aqui todos los edificios (actuales y futuros). Este catalogo alimenta el conteo semanal.</t>
        </is>
      </c>
    </row>
    <row r="3" ht="8" customHeight="1"/>
    <row r="5">
      <c r="A5" s="18" t="inlineStr">
        <is>
          <t>IdEdificio</t>
        </is>
      </c>
      <c r="B5" s="18" t="inlineStr">
        <is>
          <t>NombreEdificio</t>
        </is>
      </c>
      <c r="C5" s="18" t="inlineStr">
        <is>
          <t>Activo</t>
        </is>
      </c>
    </row>
    <row r="6">
      <c r="A6" t="inlineStr">
        <is>
          <t>2566</t>
        </is>
      </c>
      <c r="B6" t="inlineStr"/>
      <c r="C6" t="inlineStr">
        <is>
          <t>Si</t>
        </is>
      </c>
    </row>
    <row r="7">
      <c r="A7" t="inlineStr">
        <is>
          <t>2573</t>
        </is>
      </c>
      <c r="B7" t="inlineStr"/>
      <c r="C7" t="inlineStr">
        <is>
          <t>Si</t>
        </is>
      </c>
    </row>
    <row r="8">
      <c r="A8" t="inlineStr">
        <is>
          <t>2575</t>
        </is>
      </c>
      <c r="B8" t="inlineStr"/>
      <c r="C8" t="inlineStr">
        <is>
          <t>Si</t>
        </is>
      </c>
    </row>
    <row r="9">
      <c r="A9" t="inlineStr">
        <is>
          <t>2586</t>
        </is>
      </c>
      <c r="B9" t="inlineStr"/>
      <c r="C9" t="inlineStr">
        <is>
          <t>Si</t>
        </is>
      </c>
    </row>
    <row r="10">
      <c r="A10" t="inlineStr">
        <is>
          <t>2587</t>
        </is>
      </c>
      <c r="B10" t="inlineStr"/>
      <c r="C10" t="inlineStr">
        <is>
          <t>Si</t>
        </is>
      </c>
    </row>
    <row r="11">
      <c r="A11" t="inlineStr">
        <is>
          <t>2604</t>
        </is>
      </c>
      <c r="B11" t="inlineStr"/>
      <c r="C11" t="inlineStr">
        <is>
          <t>Si</t>
        </is>
      </c>
    </row>
    <row r="12">
      <c r="A12" t="inlineStr">
        <is>
          <t>2614</t>
        </is>
      </c>
      <c r="B12" t="inlineStr"/>
      <c r="C12" t="inlineStr">
        <is>
          <t>Si</t>
        </is>
      </c>
    </row>
    <row r="13">
      <c r="A13" t="inlineStr">
        <is>
          <t>2616</t>
        </is>
      </c>
      <c r="B13" t="inlineStr"/>
      <c r="C13" t="inlineStr">
        <is>
          <t>Si</t>
        </is>
      </c>
    </row>
  </sheetData>
  <mergeCells count="2">
    <mergeCell ref="A1:C1"/>
    <mergeCell ref="A2:C2"/>
  </mergeCells>
  <dataValidations count="1">
    <dataValidation sqref="C6:C400" showDropDown="0" showInputMessage="0" showErrorMessage="0" allowBlank="1" type="list">
      <formula1>"Si,No"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2026-04-21T15:55:54Z</dcterms:created>
  <dcterms:modified xmlns:dcterms="http://purl.org/dc/terms/" xmlns:xsi="http://www.w3.org/2001/XMLSchema-instance" xsi:type="dcterms:W3CDTF">2026-04-21T15:55:54Z</dcterms:modified>
</cp:coreProperties>
</file>